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30F9FD72D50AB/Documents/"/>
    </mc:Choice>
  </mc:AlternateContent>
  <xr:revisionPtr revIDLastSave="0" documentId="8_{B67F3AF5-FE9F-4DA3-A396-D951ACCA9CBE}" xr6:coauthVersionLast="47" xr6:coauthVersionMax="47" xr10:uidLastSave="{00000000-0000-0000-0000-000000000000}"/>
  <bookViews>
    <workbookView xWindow="-120" yWindow="-120" windowWidth="20730" windowHeight="11160" activeTab="1" xr2:uid="{6E45A780-EAA4-4521-8F2F-9692447BC7AC}"/>
  </bookViews>
  <sheets>
    <sheet name="Pivot Tables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3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<sst xmlns="http://schemas.openxmlformats.org/spreadsheetml/2006/main" count="217" uniqueCount="94">
  <si>
    <t>Employee ID</t>
  </si>
  <si>
    <t>Employee Name</t>
  </si>
  <si>
    <t>Department</t>
  </si>
  <si>
    <t>Vehicle Reg</t>
  </si>
  <si>
    <t>Vehicle Type</t>
  </si>
  <si>
    <t>Gas Allowance</t>
  </si>
  <si>
    <t>Gas Used</t>
  </si>
  <si>
    <t>Monthly KM</t>
  </si>
  <si>
    <t>Service Cost</t>
  </si>
  <si>
    <t>License</t>
  </si>
  <si>
    <t>Insurance</t>
  </si>
  <si>
    <t>Vehicle Docs</t>
  </si>
  <si>
    <t>CRM Status</t>
  </si>
  <si>
    <t>EMP001</t>
  </si>
  <si>
    <t>Thabo Mokoena</t>
  </si>
  <si>
    <t>Operations</t>
  </si>
  <si>
    <t>GP 45821</t>
  </si>
  <si>
    <t>Sedan</t>
  </si>
  <si>
    <t>Valid</t>
  </si>
  <si>
    <t>Complete</t>
  </si>
  <si>
    <t>Active</t>
  </si>
  <si>
    <t>EMP002</t>
  </si>
  <si>
    <t>Lerato Dlamini</t>
  </si>
  <si>
    <t>Sales</t>
  </si>
  <si>
    <t>GP 67214</t>
  </si>
  <si>
    <t>EMP003</t>
  </si>
  <si>
    <t>Sipho Ndlovu</t>
  </si>
  <si>
    <t>GP 31456</t>
  </si>
  <si>
    <t>Hatchback</t>
  </si>
  <si>
    <t>Expired</t>
  </si>
  <si>
    <t>Missing</t>
  </si>
  <si>
    <t>Follow Up</t>
  </si>
  <si>
    <t>EMP004</t>
  </si>
  <si>
    <t>Ayanda Mthembu</t>
  </si>
  <si>
    <t>HR</t>
  </si>
  <si>
    <t>GP 78932</t>
  </si>
  <si>
    <t>SUV</t>
  </si>
  <si>
    <t>EMP005</t>
  </si>
  <si>
    <t>Zanele Khumalo</t>
  </si>
  <si>
    <t>GP 52678</t>
  </si>
  <si>
    <t>EMP006</t>
  </si>
  <si>
    <t>Bongani Cele</t>
  </si>
  <si>
    <t>GP 90124</t>
  </si>
  <si>
    <t>EMP007</t>
  </si>
  <si>
    <t>Nokuthula Zulu</t>
  </si>
  <si>
    <t>Finance</t>
  </si>
  <si>
    <t>GP 24567</t>
  </si>
  <si>
    <t>EMP008</t>
  </si>
  <si>
    <t>Siyabonga Dube</t>
  </si>
  <si>
    <t>GP 81345</t>
  </si>
  <si>
    <t>EMP009</t>
  </si>
  <si>
    <t>Nomsa Maseko</t>
  </si>
  <si>
    <t>GP 36781</t>
  </si>
  <si>
    <t>EMP010</t>
  </si>
  <si>
    <t>Andile Khumalo</t>
  </si>
  <si>
    <t>GP 65429</t>
  </si>
  <si>
    <t>EMP011</t>
  </si>
  <si>
    <t>Precious Nkosi</t>
  </si>
  <si>
    <t>GP 49216</t>
  </si>
  <si>
    <t>EMP012</t>
  </si>
  <si>
    <t>Mandla Sithole</t>
  </si>
  <si>
    <t>GP 73548</t>
  </si>
  <si>
    <t>EMP013</t>
  </si>
  <si>
    <t>Busisiwe Mthembu</t>
  </si>
  <si>
    <t>GP 18653</t>
  </si>
  <si>
    <t>EMP014</t>
  </si>
  <si>
    <t>Themba Zungu</t>
  </si>
  <si>
    <t>GP 92317</t>
  </si>
  <si>
    <t>EMP015</t>
  </si>
  <si>
    <t>Nosipho Cele</t>
  </si>
  <si>
    <t>GP 54129</t>
  </si>
  <si>
    <t>EMP016</t>
  </si>
  <si>
    <t>Kagiso Molefe</t>
  </si>
  <si>
    <t>GP 27846</t>
  </si>
  <si>
    <t>EMP017</t>
  </si>
  <si>
    <t>Lindiwe Ncube</t>
  </si>
  <si>
    <t>GP 86531</t>
  </si>
  <si>
    <t>EMP018</t>
  </si>
  <si>
    <t>Sandile Mthethwa</t>
  </si>
  <si>
    <t>GP 41375</t>
  </si>
  <si>
    <t>EMP019</t>
  </si>
  <si>
    <t>Khanyisa Mabuza</t>
  </si>
  <si>
    <t>GP 75218</t>
  </si>
  <si>
    <t>EMP020</t>
  </si>
  <si>
    <t>Vusi Nkomo</t>
  </si>
  <si>
    <t>GP 63842</t>
  </si>
  <si>
    <t>Remaining Gas Allowance</t>
  </si>
  <si>
    <t>Gas Status</t>
  </si>
  <si>
    <t>Total Monthly Cost</t>
  </si>
  <si>
    <t>Cost per KM</t>
  </si>
  <si>
    <t>Compliance Status</t>
  </si>
  <si>
    <t>Action Required</t>
  </si>
  <si>
    <t>Grand Total</t>
  </si>
  <si>
    <t>Average of Gas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</si>
</sst>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834205208332" createdVersion="8" refreshedVersion="8" minRefreshableVersion="3" recordCount="20" xr:uid="{598BED0F-15B2-41D8-85A5-579D4F980AD7}">
  <cacheSource type="worksheet">
    <worksheetSource name="Table1"/>
  </cacheSource>
  <cacheFields count="19">
    <cacheField name="Employee ID" numFmtId="0">
      <sharedItems/>
    </cacheField>
    <cacheField name="Employee Name" numFmtId="0">
      <sharedItems/>
    </cacheField>
    <cacheField name="Department" numFmtId="0">
      <sharedItems count="4">
        <s v="Operations"/>
        <s v="Sales"/>
        <s v="HR"/>
        <s v="Finance"/>
      </sharedItems>
    </cacheField>
    <cacheField name="Vehicle Reg" numFmtId="0">
      <sharedItems/>
    </cacheField>
    <cacheField name="Vehicle Type" numFmtId="0">
      <sharedItems count="3">
        <s v="Sedan"/>
        <s v="Hatchback"/>
        <s v="SUV"/>
      </sharedItems>
    </cacheField>
    <cacheField name="Gas Allowance" numFmtId="0">
      <sharedItems containsSemiMixedTypes="0" containsString="0" containsNumber="1" containsInteger="1" minValue="1000" maxValue="2300"/>
    </cacheField>
    <cacheField name="Gas Used" numFmtId="0">
      <sharedItems containsSemiMixedTypes="0" containsString="0" containsNumber="1" containsInteger="1" minValue="875" maxValue="2380"/>
    </cacheField>
    <cacheField name="Monthly KM" numFmtId="0">
      <sharedItems containsSemiMixedTypes="0" containsString="0" containsNumber="1" containsInteger="1" minValue="1920" maxValue="4890"/>
    </cacheField>
    <cacheField name="Service Cost" numFmtId="0">
      <sharedItems containsSemiMixedTypes="0" containsString="0" containsNumber="1" containsInteger="1" minValue="0" maxValue="5200"/>
    </cacheField>
    <cacheField name="License" numFmtId="0">
      <sharedItems/>
    </cacheField>
    <cacheField name="Insurance" numFmtId="0">
      <sharedItems/>
    </cacheField>
    <cacheField name="Vehicle Docs" numFmtId="0">
      <sharedItems/>
    </cacheField>
    <cacheField name="CRM Status" numFmtId="0">
      <sharedItems/>
    </cacheField>
    <cacheField name="Remaining Gas Allowance" numFmtId="0">
      <sharedItems containsSemiMixedTypes="0" containsString="0" containsNumber="1" containsInteger="1" minValue="-180" maxValue="280"/>
    </cacheField>
    <cacheField name="Gas Status" numFmtId="0">
      <sharedItems/>
    </cacheField>
    <cacheField name="Total Monthly Cost" numFmtId="0">
      <sharedItems containsSemiMixedTypes="0" containsString="0" containsNumber="1" containsInteger="1" minValue="875" maxValue="7390"/>
    </cacheField>
    <cacheField name="Cost per KM" numFmtId="2">
      <sharedItems containsSemiMixedTypes="0" containsString="0" containsNumber="1" minValue="0.44878048780487806" maxValue="1.5640211640211641"/>
    </cacheField>
    <cacheField name="Compliance Status" numFmtId="0">
      <sharedItems/>
    </cacheField>
    <cacheField name="Action Requir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MP001"/>
    <s v="Thabo Mokoena"/>
    <x v="0"/>
    <s v="GP 45821"/>
    <x v="0"/>
    <n v="1500"/>
    <n v="1325"/>
    <n v="2840"/>
    <n v="0"/>
    <s v="Valid"/>
    <s v="Valid"/>
    <s v="Complete"/>
    <s v="Active"/>
    <n v="175"/>
    <s v="Within Allowance"/>
    <n v="1325"/>
    <n v="0.46654929577464788"/>
    <s v="Compliant"/>
    <s v="No Action"/>
  </r>
  <r>
    <s v="EMP002"/>
    <s v="Lerato Dlamini"/>
    <x v="1"/>
    <s v="GP 67214"/>
    <x v="0"/>
    <n v="1800"/>
    <n v="1950"/>
    <n v="3560"/>
    <n v="1250"/>
    <s v="Valid"/>
    <s v="Valid"/>
    <s v="Complete"/>
    <s v="Active"/>
    <n v="-150"/>
    <s v="Over Allowance"/>
    <n v="3200"/>
    <n v="0.898876404494382"/>
    <s v="Compliant"/>
    <s v="No Action"/>
  </r>
  <r>
    <s v="EMP003"/>
    <s v="Sipho Ndlovu"/>
    <x v="0"/>
    <s v="GP 31456"/>
    <x v="1"/>
    <n v="1200"/>
    <n v="980"/>
    <n v="2150"/>
    <n v="0"/>
    <s v="Valid"/>
    <s v="Expired"/>
    <s v="Missing"/>
    <s v="Follow Up"/>
    <n v="220"/>
    <s v="Within Allowance"/>
    <n v="980"/>
    <n v="0.45581395348837211"/>
    <s v="Non-Compliant"/>
    <s v="Follow-Up Required"/>
  </r>
  <r>
    <s v="EMP004"/>
    <s v="Ayanda Mthembu"/>
    <x v="2"/>
    <s v="GP 78932"/>
    <x v="2"/>
    <n v="2000"/>
    <n v="1745"/>
    <n v="4210"/>
    <n v="3500"/>
    <s v="Valid"/>
    <s v="Valid"/>
    <s v="Complete"/>
    <s v="Active"/>
    <n v="255"/>
    <s v="Within Allowance"/>
    <n v="5245"/>
    <n v="1.2458432304038005"/>
    <s v="Compliant"/>
    <s v="No Action"/>
  </r>
  <r>
    <s v="EMP005"/>
    <s v="Zanele Khumalo"/>
    <x v="1"/>
    <s v="GP 52678"/>
    <x v="0"/>
    <n v="1600"/>
    <n v="1420"/>
    <n v="2980"/>
    <n v="850"/>
    <s v="Expired"/>
    <s v="Valid"/>
    <s v="Missing"/>
    <s v="Follow Up"/>
    <n v="180"/>
    <s v="Within Allowance"/>
    <n v="2270"/>
    <n v="0.76174496644295298"/>
    <s v="Non-Compliant"/>
    <s v="Follow-Up Required"/>
  </r>
  <r>
    <s v="EMP006"/>
    <s v="Bongani Cele"/>
    <x v="0"/>
    <s v="GP 90124"/>
    <x v="1"/>
    <n v="1100"/>
    <n v="1175"/>
    <n v="2450"/>
    <n v="0"/>
    <s v="Valid"/>
    <s v="Valid"/>
    <s v="Complete"/>
    <s v="Active"/>
    <n v="-75"/>
    <s v="Over Allowance"/>
    <n v="1175"/>
    <n v="0.47959183673469385"/>
    <s v="Compliant"/>
    <s v="No Action"/>
  </r>
  <r>
    <s v="EMP007"/>
    <s v="Nokuthula Zulu"/>
    <x v="3"/>
    <s v="GP 24567"/>
    <x v="0"/>
    <n v="1400"/>
    <n v="1120"/>
    <n v="2675"/>
    <n v="2200"/>
    <s v="Valid"/>
    <s v="Valid"/>
    <s v="Complete"/>
    <s v="Active"/>
    <n v="280"/>
    <s v="Within Allowance"/>
    <n v="3320"/>
    <n v="1.2411214953271028"/>
    <s v="Compliant"/>
    <s v="No Action"/>
  </r>
  <r>
    <s v="EMP008"/>
    <s v="Siyabonga Dube"/>
    <x v="1"/>
    <s v="GP 81345"/>
    <x v="2"/>
    <n v="2200"/>
    <n v="2380"/>
    <n v="4890"/>
    <n v="4750"/>
    <s v="Valid"/>
    <s v="Valid"/>
    <s v="Complete"/>
    <s v="Active"/>
    <n v="-180"/>
    <s v="Over Allowance"/>
    <n v="7130"/>
    <n v="1.4580777096114519"/>
    <s v="Compliant"/>
    <s v="No Action"/>
  </r>
  <r>
    <s v="EMP009"/>
    <s v="Nomsa Maseko"/>
    <x v="2"/>
    <s v="GP 36781"/>
    <x v="1"/>
    <n v="1000"/>
    <n v="875"/>
    <n v="1920"/>
    <n v="0"/>
    <s v="Valid"/>
    <s v="Valid"/>
    <s v="Missing"/>
    <s v="Follow Up"/>
    <n v="125"/>
    <s v="Within Allowance"/>
    <n v="875"/>
    <n v="0.45572916666666669"/>
    <s v="Non-Compliant"/>
    <s v="Follow-Up Required"/>
  </r>
  <r>
    <s v="EMP010"/>
    <s v="Andile Khumalo"/>
    <x v="0"/>
    <s v="GP 65429"/>
    <x v="0"/>
    <n v="1500"/>
    <n v="1290"/>
    <n v="3120"/>
    <n v="1650"/>
    <s v="Valid"/>
    <s v="Expired"/>
    <s v="Missing"/>
    <s v="Follow Up"/>
    <n v="210"/>
    <s v="Within Allowance"/>
    <n v="2940"/>
    <n v="0.94230769230769229"/>
    <s v="Non-Compliant"/>
    <s v="Follow-Up Required"/>
  </r>
  <r>
    <s v="EMP011"/>
    <s v="Precious Nkosi"/>
    <x v="1"/>
    <s v="GP 49216"/>
    <x v="0"/>
    <n v="1700"/>
    <n v="1540"/>
    <n v="3375"/>
    <n v="900"/>
    <s v="Valid"/>
    <s v="Valid"/>
    <s v="Complete"/>
    <s v="Active"/>
    <n v="160"/>
    <s v="Within Allowance"/>
    <n v="2440"/>
    <n v="0.72296296296296292"/>
    <s v="Compliant"/>
    <s v="No Action"/>
  </r>
  <r>
    <s v="EMP012"/>
    <s v="Mandla Sithole"/>
    <x v="0"/>
    <s v="GP 73548"/>
    <x v="1"/>
    <n v="1200"/>
    <n v="1095"/>
    <n v="2290"/>
    <n v="0"/>
    <s v="Valid"/>
    <s v="Valid"/>
    <s v="Complete"/>
    <s v="Active"/>
    <n v="105"/>
    <s v="Within Allowance"/>
    <n v="1095"/>
    <n v="0.47816593886462883"/>
    <s v="Compliant"/>
    <s v="No Action"/>
  </r>
  <r>
    <s v="EMP013"/>
    <s v="Busisiwe Mthembu"/>
    <x v="3"/>
    <s v="GP 18653"/>
    <x v="2"/>
    <n v="2100"/>
    <n v="1850"/>
    <n v="4050"/>
    <n v="2800"/>
    <s v="Valid"/>
    <s v="Valid"/>
    <s v="Complete"/>
    <s v="Active"/>
    <n v="250"/>
    <s v="Within Allowance"/>
    <n v="4650"/>
    <n v="1.1481481481481481"/>
    <s v="Compliant"/>
    <s v="No Action"/>
  </r>
  <r>
    <s v="EMP014"/>
    <s v="Themba Zungu"/>
    <x v="1"/>
    <s v="GP 92317"/>
    <x v="0"/>
    <n v="1600"/>
    <n v="1685"/>
    <n v="3640"/>
    <n v="1200"/>
    <s v="Valid"/>
    <s v="Valid"/>
    <s v="Complete"/>
    <s v="Active"/>
    <n v="-85"/>
    <s v="Over Allowance"/>
    <n v="2885"/>
    <n v="0.79258241758241754"/>
    <s v="Compliant"/>
    <s v="No Action"/>
  </r>
  <r>
    <s v="EMP015"/>
    <s v="Nosipho Cele"/>
    <x v="2"/>
    <s v="GP 54129"/>
    <x v="1"/>
    <n v="1100"/>
    <n v="920"/>
    <n v="2050"/>
    <n v="0"/>
    <s v="Valid"/>
    <s v="Valid"/>
    <s v="Missing"/>
    <s v="Follow Up"/>
    <n v="180"/>
    <s v="Within Allowance"/>
    <n v="920"/>
    <n v="0.44878048780487806"/>
    <s v="Non-Compliant"/>
    <s v="Follow-Up Required"/>
  </r>
  <r>
    <s v="EMP016"/>
    <s v="Kagiso Molefe"/>
    <x v="0"/>
    <s v="GP 27846"/>
    <x v="0"/>
    <n v="1500"/>
    <n v="1455"/>
    <n v="3010"/>
    <n v="750"/>
    <s v="Valid"/>
    <s v="Valid"/>
    <s v="Complete"/>
    <s v="Active"/>
    <n v="45"/>
    <s v="Within Allowance"/>
    <n v="2205"/>
    <n v="0.73255813953488369"/>
    <s v="Compliant"/>
    <s v="No Action"/>
  </r>
  <r>
    <s v="EMP017"/>
    <s v="Lindiwe Ncube"/>
    <x v="1"/>
    <s v="GP 86531"/>
    <x v="2"/>
    <n v="2300"/>
    <n v="2190"/>
    <n v="4725"/>
    <n v="5200"/>
    <s v="Valid"/>
    <s v="Expired"/>
    <s v="Missing"/>
    <s v="Follow Up"/>
    <n v="110"/>
    <s v="Within Allowance"/>
    <n v="7390"/>
    <n v="1.5640211640211641"/>
    <s v="Non-Compliant"/>
    <s v="Follow-Up Required"/>
  </r>
  <r>
    <s v="EMP018"/>
    <s v="Sandile Mthethwa"/>
    <x v="3"/>
    <s v="GP 41375"/>
    <x v="0"/>
    <n v="1400"/>
    <n v="1320"/>
    <n v="2890"/>
    <n v="0"/>
    <s v="Valid"/>
    <s v="Valid"/>
    <s v="Complete"/>
    <s v="Active"/>
    <n v="80"/>
    <s v="Within Allowance"/>
    <n v="1320"/>
    <n v="0.45674740484429066"/>
    <s v="Compliant"/>
    <s v="No Action"/>
  </r>
  <r>
    <s v="EMP019"/>
    <s v="Khanyisa Mabuza"/>
    <x v="0"/>
    <s v="GP 75218"/>
    <x v="1"/>
    <n v="1150"/>
    <n v="1245"/>
    <n v="2510"/>
    <n v="1100"/>
    <s v="Valid"/>
    <s v="Valid"/>
    <s v="Complete"/>
    <s v="Active"/>
    <n v="-95"/>
    <s v="Over Allowance"/>
    <n v="2345"/>
    <n v="0.93426294820717126"/>
    <s v="Compliant"/>
    <s v="No Action"/>
  </r>
  <r>
    <s v="EMP020"/>
    <s v="Vusi Nkomo"/>
    <x v="1"/>
    <s v="GP 63842"/>
    <x v="0"/>
    <n v="1750"/>
    <n v="1510"/>
    <n v="3290"/>
    <n v="1950"/>
    <s v="Expired"/>
    <s v="Valid"/>
    <s v="Missing"/>
    <s v="Follow Up"/>
    <n v="240"/>
    <s v="Within Allowance"/>
    <n v="3460"/>
    <n v="1.0516717325227964"/>
    <s v="Non-Compliant"/>
    <s v="Follow-Up Requi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441FF-EEBC-4DDA-9CD5-4EB9BCD3D90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ehicle Type">
  <location ref="A11:E15" firstHeaderRow="0" firstDataRow="1" firstDataCol="1"/>
  <pivotFields count="19"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ehicle Reg" fld="3" subtotal="count" baseField="0" baseItem="0"/>
    <dataField name="Service Cost" fld="8" baseField="0" baseItem="0"/>
    <dataField name="Average of Gas Used" fld="6" subtotal="average" baseField="0" baseItem="0"/>
    <dataField name="Monthly KM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63BDA-5F39-42E5-B4E7-F13F3D962AA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D8" firstHeaderRow="0" firstDataRow="1" firstDataCol="1"/>
  <pivotFields count="19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ervice Cost" fld="8" baseField="0" baseItem="0"/>
    <dataField name="Gas Used" fld="6" baseField="0" baseItem="0"/>
    <dataField name="Monthly KM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A6DC4-C3F7-4C0F-B7C7-C92F8AEA0BD7}" name="Table1" displayName="Table1" ref="A1:S21" totalsRowShown="0" headerRowDxfId="21">
  <autoFilter ref="A1:S21" xr:uid="{046A6DC4-C3F7-4C0F-B7C7-C92F8AEA0BD7}"/>
  <tableColumns count="19">
    <tableColumn id="1" xr3:uid="{434CC340-2BA0-4307-AA71-A625F48F8CB8}" name="Employee ID"/>
    <tableColumn id="2" xr3:uid="{6F5CAD0A-C79F-4392-89CE-C2762E11E866}" name="Employee Name"/>
    <tableColumn id="3" xr3:uid="{9606AB0B-CAE1-4D1D-9BF4-90CEDC9ECA8C}" name="Department"/>
    <tableColumn id="4" xr3:uid="{D38EAEE5-C4FD-451A-A8AA-785B99373120}" name="Vehicle Reg"/>
    <tableColumn id="5" xr3:uid="{7EA9195F-ECA9-4321-8D3F-B85FD946E0B9}" name="Vehicle Type"/>
    <tableColumn id="6" xr3:uid="{05DAB30E-B48E-4888-922A-31AE1A3B3D87}" name="Gas Allowance"/>
    <tableColumn id="7" xr3:uid="{4D90BC54-2098-4BBB-A6DE-DA4BC3A893CC}" name="Gas Used"/>
    <tableColumn id="8" xr3:uid="{C09A6BD3-E54C-4FD5-883B-98BE52CDA878}" name="Monthly KM"/>
    <tableColumn id="9" xr3:uid="{457A55A2-7996-4D82-B492-0965BDF51C99}" name="Service Cost"/>
    <tableColumn id="10" xr3:uid="{9DB9DE15-2C7A-4FA4-9DCA-00F1362F301D}" name="License"/>
    <tableColumn id="11" xr3:uid="{49E45649-CAC8-4B38-A47E-DC166E131CAF}" name="Insurance"/>
    <tableColumn id="12" xr3:uid="{B594121C-3962-451D-8BF3-E8022082BB14}" name="Vehicle Docs"/>
    <tableColumn id="13" xr3:uid="{081B2A78-EAE9-4145-B551-6EBB771C6830}" name="CRM Status"/>
    <tableColumn id="14" xr3:uid="{48F385E4-3DFC-49C1-B9D0-453980254E8C}" name="Remaining Gas Allowance">
      <calculatedColumnFormula>F2-G2</calculatedColumnFormula>
    </tableColumn>
    <tableColumn id="15" xr3:uid="{A9730DEB-84CD-47E4-9440-52D58BA961A0}" name="Gas Status">
      <calculatedColumnFormula>IF(G2&gt;F2, "Over Allowance", "Within Allowance")</calculatedColumnFormula>
    </tableColumn>
    <tableColumn id="16" xr3:uid="{582A2BC1-C0CE-47A2-AC84-7080A9B67029}" name="Total Monthly Cost">
      <calculatedColumnFormula>SUM(G2,I2)</calculatedColumnFormula>
    </tableColumn>
    <tableColumn id="17" xr3:uid="{8C8B6734-63DD-4E64-B743-B157BB06EC69}" name="Cost per KM" dataDxfId="22">
      <calculatedColumnFormula>P2/H2</calculatedColumnFormula>
    </tableColumn>
    <tableColumn id="18" xr3:uid="{A218D027-D38D-4AF4-992B-7AD2E565C535}" name="Compliance Status">
      <calculatedColumnFormula>IF(AND(J2 = "Valid", K2 = "Valid", L2 = "Complete"), "Compliant", "Non-Compliant")</calculatedColumnFormula>
    </tableColumn>
    <tableColumn id="19" xr3:uid="{D99EEEB8-FE43-4171-B1E2-EA0E5E370555}" name="Action Required">
      <calculatedColumnFormula>IF(R2 = "Non-Compliant", "Follow-Up Required", "No Action")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5A9A-5170-4857-AEF7-F628F59760B6}">
  <dimension ref="A3:E15"/>
  <sheetViews>
    <sheetView workbookViewId="0">
      <selection activeCell="A17" sqref="A17"/>
    </sheetView>
  </sheetViews>
  <sheetFormatPr defaultRowHeight="15" x14ac:dyDescent="0.25"/>
  <cols>
    <col min="1" max="1" width="14.7109375" bestFit="1" customWidth="1"/>
    <col min="2" max="2" width="11.5703125" bestFit="1" customWidth="1"/>
    <col min="3" max="3" width="12.42578125" bestFit="1" customWidth="1"/>
    <col min="4" max="4" width="19.5703125" bestFit="1" customWidth="1"/>
    <col min="5" max="5" width="12" bestFit="1" customWidth="1"/>
  </cols>
  <sheetData>
    <row r="3" spans="1:5" x14ac:dyDescent="0.25">
      <c r="A3" s="4" t="s">
        <v>2</v>
      </c>
      <c r="B3" t="s">
        <v>8</v>
      </c>
      <c r="C3" t="s">
        <v>6</v>
      </c>
      <c r="D3" t="s">
        <v>7</v>
      </c>
    </row>
    <row r="4" spans="1:5" x14ac:dyDescent="0.25">
      <c r="A4" s="5" t="s">
        <v>45</v>
      </c>
      <c r="B4" s="6">
        <v>5000</v>
      </c>
      <c r="C4" s="6">
        <v>4290</v>
      </c>
      <c r="D4" s="6">
        <v>9615</v>
      </c>
    </row>
    <row r="5" spans="1:5" x14ac:dyDescent="0.25">
      <c r="A5" s="5" t="s">
        <v>34</v>
      </c>
      <c r="B5" s="6">
        <v>3500</v>
      </c>
      <c r="C5" s="6">
        <v>3540</v>
      </c>
      <c r="D5" s="6">
        <v>8180</v>
      </c>
    </row>
    <row r="6" spans="1:5" x14ac:dyDescent="0.25">
      <c r="A6" s="5" t="s">
        <v>15</v>
      </c>
      <c r="B6" s="6">
        <v>3500</v>
      </c>
      <c r="C6" s="6">
        <v>8565</v>
      </c>
      <c r="D6" s="6">
        <v>18370</v>
      </c>
    </row>
    <row r="7" spans="1:5" x14ac:dyDescent="0.25">
      <c r="A7" s="5" t="s">
        <v>23</v>
      </c>
      <c r="B7" s="6">
        <v>16100</v>
      </c>
      <c r="C7" s="6">
        <v>12675</v>
      </c>
      <c r="D7" s="6">
        <v>26460</v>
      </c>
    </row>
    <row r="8" spans="1:5" x14ac:dyDescent="0.25">
      <c r="A8" s="5" t="s">
        <v>92</v>
      </c>
      <c r="B8" s="6">
        <v>28100</v>
      </c>
      <c r="C8" s="6">
        <v>29070</v>
      </c>
      <c r="D8" s="6">
        <v>62625</v>
      </c>
    </row>
    <row r="11" spans="1:5" x14ac:dyDescent="0.25">
      <c r="A11" s="4" t="s">
        <v>4</v>
      </c>
      <c r="B11" t="s">
        <v>3</v>
      </c>
      <c r="C11" t="s">
        <v>8</v>
      </c>
      <c r="D11" t="s">
        <v>93</v>
      </c>
      <c r="E11" t="s">
        <v>7</v>
      </c>
    </row>
    <row r="12" spans="1:5" x14ac:dyDescent="0.25">
      <c r="A12" s="5" t="s">
        <v>28</v>
      </c>
      <c r="B12" s="6">
        <v>6</v>
      </c>
      <c r="C12" s="6">
        <v>1100</v>
      </c>
      <c r="D12" s="6">
        <v>1048.3333333333333</v>
      </c>
      <c r="E12" s="6">
        <v>2228.3333333333335</v>
      </c>
    </row>
    <row r="13" spans="1:5" x14ac:dyDescent="0.25">
      <c r="A13" s="5" t="s">
        <v>17</v>
      </c>
      <c r="B13" s="6">
        <v>10</v>
      </c>
      <c r="C13" s="6">
        <v>10750</v>
      </c>
      <c r="D13" s="6">
        <v>1461.5</v>
      </c>
      <c r="E13" s="6">
        <v>3138</v>
      </c>
    </row>
    <row r="14" spans="1:5" x14ac:dyDescent="0.25">
      <c r="A14" s="5" t="s">
        <v>36</v>
      </c>
      <c r="B14" s="6">
        <v>4</v>
      </c>
      <c r="C14" s="6">
        <v>16250</v>
      </c>
      <c r="D14" s="6">
        <v>2041.25</v>
      </c>
      <c r="E14" s="6">
        <v>4468.75</v>
      </c>
    </row>
    <row r="15" spans="1:5" x14ac:dyDescent="0.25">
      <c r="A15" s="5" t="s">
        <v>92</v>
      </c>
      <c r="B15" s="6">
        <v>20</v>
      </c>
      <c r="C15" s="6">
        <v>28100</v>
      </c>
      <c r="D15" s="6">
        <v>1453.5</v>
      </c>
      <c r="E15" s="6">
        <v>3131.25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ED5F-A67A-4F16-8B7C-5C74D472CAEC}">
  <dimension ref="A1:S23"/>
  <sheetViews>
    <sheetView tabSelected="1" topLeftCell="E4" workbookViewId="0">
      <selection activeCell="L24" sqref="L24"/>
    </sheetView>
  </sheetViews>
  <sheetFormatPr defaultRowHeight="15" x14ac:dyDescent="0.25"/>
  <cols>
    <col min="1" max="1" width="14.7109375" customWidth="1"/>
    <col min="2" max="2" width="20.28515625" customWidth="1"/>
    <col min="3" max="4" width="14.42578125" customWidth="1"/>
    <col min="5" max="5" width="14.85546875" customWidth="1"/>
    <col min="6" max="6" width="16.85546875" customWidth="1"/>
    <col min="7" max="7" width="11.85546875" customWidth="1"/>
    <col min="8" max="8" width="14" customWidth="1"/>
    <col min="9" max="9" width="14.85546875" customWidth="1"/>
    <col min="10" max="10" width="14.7109375" customWidth="1"/>
    <col min="11" max="11" width="14" customWidth="1"/>
    <col min="12" max="12" width="15.28515625" customWidth="1"/>
    <col min="13" max="13" width="14" customWidth="1"/>
    <col min="14" max="14" width="27.140625" customWidth="1"/>
    <col min="15" max="15" width="17.28515625" customWidth="1"/>
    <col min="16" max="16" width="20.28515625" customWidth="1"/>
    <col min="17" max="17" width="14.28515625" customWidth="1"/>
    <col min="18" max="18" width="20.85546875" customWidth="1"/>
    <col min="19" max="19" width="21.42578125" customWidth="1"/>
  </cols>
  <sheetData>
    <row r="1" spans="1: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</row>
    <row r="2" spans="1:1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1500</v>
      </c>
      <c r="G2">
        <v>1325</v>
      </c>
      <c r="H2">
        <v>2840</v>
      </c>
      <c r="I2">
        <v>0</v>
      </c>
      <c r="J2" t="s">
        <v>18</v>
      </c>
      <c r="K2" t="s">
        <v>18</v>
      </c>
      <c r="L2" t="s">
        <v>19</v>
      </c>
      <c r="M2" t="s">
        <v>20</v>
      </c>
      <c r="N2">
        <f>F2-G2</f>
        <v>175</v>
      </c>
      <c r="O2" t="str">
        <f>IF(G2&gt;F2, "Over Allowance", "Within Allowance")</f>
        <v>Within Allowance</v>
      </c>
      <c r="P2">
        <f>SUM(G2,I2)</f>
        <v>1325</v>
      </c>
      <c r="Q2" s="2">
        <f>P2/H2</f>
        <v>0.46654929577464788</v>
      </c>
      <c r="R2" s="3" t="str">
        <f>IF(AND(J2 = "Valid", K2 = "Valid", L2 = "Complete"), "Compliant", "Non-Compliant")</f>
        <v>Compliant</v>
      </c>
      <c r="S2" t="str">
        <f>IF(R2 = "Non-Compliant", "Follow-Up Required", "No Action")</f>
        <v>No Action</v>
      </c>
    </row>
    <row r="3" spans="1:19" x14ac:dyDescent="0.25">
      <c r="A3" t="s">
        <v>21</v>
      </c>
      <c r="B3" t="s">
        <v>22</v>
      </c>
      <c r="C3" t="s">
        <v>23</v>
      </c>
      <c r="D3" t="s">
        <v>24</v>
      </c>
      <c r="E3" t="s">
        <v>17</v>
      </c>
      <c r="F3">
        <v>1800</v>
      </c>
      <c r="G3">
        <v>1950</v>
      </c>
      <c r="H3">
        <v>3560</v>
      </c>
      <c r="I3">
        <v>1250</v>
      </c>
      <c r="J3" t="s">
        <v>18</v>
      </c>
      <c r="K3" t="s">
        <v>18</v>
      </c>
      <c r="L3" t="s">
        <v>19</v>
      </c>
      <c r="M3" t="s">
        <v>20</v>
      </c>
      <c r="N3">
        <f t="shared" ref="N3:N21" si="0">F3-G3</f>
        <v>-150</v>
      </c>
      <c r="O3" t="str">
        <f t="shared" ref="O3:O21" si="1">IF(G3&gt;F3, "Over Allowance", "Within Allowance")</f>
        <v>Over Allowance</v>
      </c>
      <c r="P3">
        <f t="shared" ref="P3:P21" si="2">SUM(G3,I3)</f>
        <v>3200</v>
      </c>
      <c r="Q3" s="2">
        <f t="shared" ref="Q3:Q21" si="3">P3/H3</f>
        <v>0.898876404494382</v>
      </c>
      <c r="R3" s="3" t="str">
        <f t="shared" ref="R3:R21" si="4">IF(AND(J3 = "Valid", K3 = "Valid", L3 = "Complete"), "Compliant", "Non-Compliant")</f>
        <v>Compliant</v>
      </c>
      <c r="S3" t="str">
        <f t="shared" ref="S3:S22" si="5">IF(R3 = "Non-Compliant", "Follow-Up Required", "No Action")</f>
        <v>No Action</v>
      </c>
    </row>
    <row r="4" spans="1:19" x14ac:dyDescent="0.25">
      <c r="A4" t="s">
        <v>25</v>
      </c>
      <c r="B4" t="s">
        <v>26</v>
      </c>
      <c r="C4" t="s">
        <v>15</v>
      </c>
      <c r="D4" t="s">
        <v>27</v>
      </c>
      <c r="E4" t="s">
        <v>28</v>
      </c>
      <c r="F4">
        <v>1200</v>
      </c>
      <c r="G4">
        <v>980</v>
      </c>
      <c r="H4">
        <v>2150</v>
      </c>
      <c r="I4">
        <v>0</v>
      </c>
      <c r="J4" t="s">
        <v>18</v>
      </c>
      <c r="K4" t="s">
        <v>29</v>
      </c>
      <c r="L4" t="s">
        <v>30</v>
      </c>
      <c r="M4" t="s">
        <v>31</v>
      </c>
      <c r="N4">
        <f t="shared" si="0"/>
        <v>220</v>
      </c>
      <c r="O4" t="str">
        <f t="shared" si="1"/>
        <v>Within Allowance</v>
      </c>
      <c r="P4">
        <f t="shared" si="2"/>
        <v>980</v>
      </c>
      <c r="Q4" s="2">
        <f t="shared" si="3"/>
        <v>0.45581395348837211</v>
      </c>
      <c r="R4" s="3" t="str">
        <f t="shared" si="4"/>
        <v>Non-Compliant</v>
      </c>
      <c r="S4" t="str">
        <f t="shared" si="5"/>
        <v>Follow-Up Required</v>
      </c>
    </row>
    <row r="5" spans="1:1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>
        <v>2000</v>
      </c>
      <c r="G5">
        <v>1745</v>
      </c>
      <c r="H5">
        <v>4210</v>
      </c>
      <c r="I5">
        <v>3500</v>
      </c>
      <c r="J5" t="s">
        <v>18</v>
      </c>
      <c r="K5" t="s">
        <v>18</v>
      </c>
      <c r="L5" t="s">
        <v>19</v>
      </c>
      <c r="M5" t="s">
        <v>20</v>
      </c>
      <c r="N5">
        <f t="shared" si="0"/>
        <v>255</v>
      </c>
      <c r="O5" t="str">
        <f t="shared" si="1"/>
        <v>Within Allowance</v>
      </c>
      <c r="P5">
        <f t="shared" si="2"/>
        <v>5245</v>
      </c>
      <c r="Q5" s="2">
        <f t="shared" si="3"/>
        <v>1.2458432304038005</v>
      </c>
      <c r="R5" s="3" t="str">
        <f t="shared" si="4"/>
        <v>Compliant</v>
      </c>
      <c r="S5" t="str">
        <f t="shared" si="5"/>
        <v>No Action</v>
      </c>
    </row>
    <row r="6" spans="1:19" x14ac:dyDescent="0.25">
      <c r="A6" t="s">
        <v>37</v>
      </c>
      <c r="B6" t="s">
        <v>38</v>
      </c>
      <c r="C6" t="s">
        <v>23</v>
      </c>
      <c r="D6" t="s">
        <v>39</v>
      </c>
      <c r="E6" t="s">
        <v>17</v>
      </c>
      <c r="F6">
        <v>1600</v>
      </c>
      <c r="G6">
        <v>1420</v>
      </c>
      <c r="H6">
        <v>2980</v>
      </c>
      <c r="I6">
        <v>850</v>
      </c>
      <c r="J6" t="s">
        <v>29</v>
      </c>
      <c r="K6" t="s">
        <v>18</v>
      </c>
      <c r="L6" t="s">
        <v>30</v>
      </c>
      <c r="M6" t="s">
        <v>31</v>
      </c>
      <c r="N6">
        <f t="shared" si="0"/>
        <v>180</v>
      </c>
      <c r="O6" t="str">
        <f t="shared" si="1"/>
        <v>Within Allowance</v>
      </c>
      <c r="P6">
        <f t="shared" si="2"/>
        <v>2270</v>
      </c>
      <c r="Q6" s="2">
        <f t="shared" si="3"/>
        <v>0.76174496644295298</v>
      </c>
      <c r="R6" s="3" t="str">
        <f t="shared" si="4"/>
        <v>Non-Compliant</v>
      </c>
      <c r="S6" t="str">
        <f t="shared" si="5"/>
        <v>Follow-Up Required</v>
      </c>
    </row>
    <row r="7" spans="1:19" x14ac:dyDescent="0.25">
      <c r="A7" t="s">
        <v>40</v>
      </c>
      <c r="B7" t="s">
        <v>41</v>
      </c>
      <c r="C7" t="s">
        <v>15</v>
      </c>
      <c r="D7" t="s">
        <v>42</v>
      </c>
      <c r="E7" t="s">
        <v>28</v>
      </c>
      <c r="F7">
        <v>1100</v>
      </c>
      <c r="G7">
        <v>1175</v>
      </c>
      <c r="H7">
        <v>2450</v>
      </c>
      <c r="I7">
        <v>0</v>
      </c>
      <c r="J7" t="s">
        <v>18</v>
      </c>
      <c r="K7" t="s">
        <v>18</v>
      </c>
      <c r="L7" t="s">
        <v>19</v>
      </c>
      <c r="M7" t="s">
        <v>20</v>
      </c>
      <c r="N7">
        <f t="shared" si="0"/>
        <v>-75</v>
      </c>
      <c r="O7" t="str">
        <f t="shared" si="1"/>
        <v>Over Allowance</v>
      </c>
      <c r="P7">
        <f t="shared" si="2"/>
        <v>1175</v>
      </c>
      <c r="Q7" s="2">
        <f t="shared" si="3"/>
        <v>0.47959183673469385</v>
      </c>
      <c r="R7" s="3" t="str">
        <f t="shared" si="4"/>
        <v>Compliant</v>
      </c>
      <c r="S7" t="str">
        <f t="shared" si="5"/>
        <v>No Action</v>
      </c>
    </row>
    <row r="8" spans="1:19" x14ac:dyDescent="0.25">
      <c r="A8" t="s">
        <v>43</v>
      </c>
      <c r="B8" t="s">
        <v>44</v>
      </c>
      <c r="C8" t="s">
        <v>45</v>
      </c>
      <c r="D8" t="s">
        <v>46</v>
      </c>
      <c r="E8" t="s">
        <v>17</v>
      </c>
      <c r="F8">
        <v>1400</v>
      </c>
      <c r="G8">
        <v>1120</v>
      </c>
      <c r="H8">
        <v>2675</v>
      </c>
      <c r="I8">
        <v>2200</v>
      </c>
      <c r="J8" t="s">
        <v>18</v>
      </c>
      <c r="K8" t="s">
        <v>18</v>
      </c>
      <c r="L8" t="s">
        <v>19</v>
      </c>
      <c r="M8" t="s">
        <v>20</v>
      </c>
      <c r="N8">
        <f t="shared" si="0"/>
        <v>280</v>
      </c>
      <c r="O8" t="str">
        <f t="shared" si="1"/>
        <v>Within Allowance</v>
      </c>
      <c r="P8">
        <f t="shared" si="2"/>
        <v>3320</v>
      </c>
      <c r="Q8" s="2">
        <f t="shared" si="3"/>
        <v>1.2411214953271028</v>
      </c>
      <c r="R8" s="3" t="str">
        <f t="shared" si="4"/>
        <v>Compliant</v>
      </c>
      <c r="S8" t="str">
        <f t="shared" si="5"/>
        <v>No Action</v>
      </c>
    </row>
    <row r="9" spans="1:19" x14ac:dyDescent="0.25">
      <c r="A9" t="s">
        <v>47</v>
      </c>
      <c r="B9" t="s">
        <v>48</v>
      </c>
      <c r="C9" t="s">
        <v>23</v>
      </c>
      <c r="D9" t="s">
        <v>49</v>
      </c>
      <c r="E9" t="s">
        <v>36</v>
      </c>
      <c r="F9">
        <v>2200</v>
      </c>
      <c r="G9">
        <v>2380</v>
      </c>
      <c r="H9">
        <v>4890</v>
      </c>
      <c r="I9">
        <v>4750</v>
      </c>
      <c r="J9" t="s">
        <v>18</v>
      </c>
      <c r="K9" t="s">
        <v>18</v>
      </c>
      <c r="L9" t="s">
        <v>19</v>
      </c>
      <c r="M9" t="s">
        <v>20</v>
      </c>
      <c r="N9">
        <f t="shared" si="0"/>
        <v>-180</v>
      </c>
      <c r="O9" t="str">
        <f t="shared" si="1"/>
        <v>Over Allowance</v>
      </c>
      <c r="P9">
        <f t="shared" si="2"/>
        <v>7130</v>
      </c>
      <c r="Q9" s="2">
        <f t="shared" si="3"/>
        <v>1.4580777096114519</v>
      </c>
      <c r="R9" s="3" t="str">
        <f t="shared" si="4"/>
        <v>Compliant</v>
      </c>
      <c r="S9" t="str">
        <f t="shared" si="5"/>
        <v>No Action</v>
      </c>
    </row>
    <row r="10" spans="1:19" x14ac:dyDescent="0.25">
      <c r="A10" t="s">
        <v>50</v>
      </c>
      <c r="B10" t="s">
        <v>51</v>
      </c>
      <c r="C10" t="s">
        <v>34</v>
      </c>
      <c r="D10" t="s">
        <v>52</v>
      </c>
      <c r="E10" t="s">
        <v>28</v>
      </c>
      <c r="F10">
        <v>1000</v>
      </c>
      <c r="G10">
        <v>875</v>
      </c>
      <c r="H10">
        <v>1920</v>
      </c>
      <c r="I10">
        <v>0</v>
      </c>
      <c r="J10" t="s">
        <v>18</v>
      </c>
      <c r="K10" t="s">
        <v>18</v>
      </c>
      <c r="L10" t="s">
        <v>30</v>
      </c>
      <c r="M10" t="s">
        <v>31</v>
      </c>
      <c r="N10">
        <f t="shared" si="0"/>
        <v>125</v>
      </c>
      <c r="O10" t="str">
        <f t="shared" si="1"/>
        <v>Within Allowance</v>
      </c>
      <c r="P10">
        <f t="shared" si="2"/>
        <v>875</v>
      </c>
      <c r="Q10" s="2">
        <f t="shared" si="3"/>
        <v>0.45572916666666669</v>
      </c>
      <c r="R10" s="3" t="str">
        <f t="shared" si="4"/>
        <v>Non-Compliant</v>
      </c>
      <c r="S10" t="str">
        <f t="shared" si="5"/>
        <v>Follow-Up Required</v>
      </c>
    </row>
    <row r="11" spans="1:19" x14ac:dyDescent="0.25">
      <c r="A11" t="s">
        <v>53</v>
      </c>
      <c r="B11" t="s">
        <v>54</v>
      </c>
      <c r="C11" t="s">
        <v>15</v>
      </c>
      <c r="D11" t="s">
        <v>55</v>
      </c>
      <c r="E11" t="s">
        <v>17</v>
      </c>
      <c r="F11">
        <v>1500</v>
      </c>
      <c r="G11">
        <v>1290</v>
      </c>
      <c r="H11">
        <v>3120</v>
      </c>
      <c r="I11">
        <v>1650</v>
      </c>
      <c r="J11" t="s">
        <v>18</v>
      </c>
      <c r="K11" t="s">
        <v>29</v>
      </c>
      <c r="L11" t="s">
        <v>30</v>
      </c>
      <c r="M11" t="s">
        <v>31</v>
      </c>
      <c r="N11">
        <f t="shared" si="0"/>
        <v>210</v>
      </c>
      <c r="O11" t="str">
        <f t="shared" si="1"/>
        <v>Within Allowance</v>
      </c>
      <c r="P11">
        <f t="shared" si="2"/>
        <v>2940</v>
      </c>
      <c r="Q11" s="2">
        <f t="shared" si="3"/>
        <v>0.94230769230769229</v>
      </c>
      <c r="R11" s="3" t="str">
        <f t="shared" si="4"/>
        <v>Non-Compliant</v>
      </c>
      <c r="S11" t="str">
        <f t="shared" si="5"/>
        <v>Follow-Up Required</v>
      </c>
    </row>
    <row r="12" spans="1:19" x14ac:dyDescent="0.25">
      <c r="A12" t="s">
        <v>56</v>
      </c>
      <c r="B12" t="s">
        <v>57</v>
      </c>
      <c r="C12" t="s">
        <v>23</v>
      </c>
      <c r="D12" t="s">
        <v>58</v>
      </c>
      <c r="E12" t="s">
        <v>17</v>
      </c>
      <c r="F12">
        <v>1700</v>
      </c>
      <c r="G12">
        <v>1540</v>
      </c>
      <c r="H12">
        <v>3375</v>
      </c>
      <c r="I12">
        <v>900</v>
      </c>
      <c r="J12" t="s">
        <v>18</v>
      </c>
      <c r="K12" t="s">
        <v>18</v>
      </c>
      <c r="L12" t="s">
        <v>19</v>
      </c>
      <c r="M12" t="s">
        <v>20</v>
      </c>
      <c r="N12">
        <f t="shared" si="0"/>
        <v>160</v>
      </c>
      <c r="O12" t="str">
        <f t="shared" si="1"/>
        <v>Within Allowance</v>
      </c>
      <c r="P12">
        <f t="shared" si="2"/>
        <v>2440</v>
      </c>
      <c r="Q12" s="2">
        <f t="shared" si="3"/>
        <v>0.72296296296296292</v>
      </c>
      <c r="R12" s="3" t="str">
        <f t="shared" si="4"/>
        <v>Compliant</v>
      </c>
      <c r="S12" t="str">
        <f t="shared" si="5"/>
        <v>No Action</v>
      </c>
    </row>
    <row r="13" spans="1:19" x14ac:dyDescent="0.25">
      <c r="A13" t="s">
        <v>59</v>
      </c>
      <c r="B13" t="s">
        <v>60</v>
      </c>
      <c r="C13" t="s">
        <v>15</v>
      </c>
      <c r="D13" t="s">
        <v>61</v>
      </c>
      <c r="E13" t="s">
        <v>28</v>
      </c>
      <c r="F13">
        <v>1200</v>
      </c>
      <c r="G13">
        <v>1095</v>
      </c>
      <c r="H13">
        <v>2290</v>
      </c>
      <c r="I13">
        <v>0</v>
      </c>
      <c r="J13" t="s">
        <v>18</v>
      </c>
      <c r="K13" t="s">
        <v>18</v>
      </c>
      <c r="L13" t="s">
        <v>19</v>
      </c>
      <c r="M13" t="s">
        <v>20</v>
      </c>
      <c r="N13">
        <f t="shared" si="0"/>
        <v>105</v>
      </c>
      <c r="O13" t="str">
        <f t="shared" si="1"/>
        <v>Within Allowance</v>
      </c>
      <c r="P13">
        <f t="shared" si="2"/>
        <v>1095</v>
      </c>
      <c r="Q13" s="2">
        <f t="shared" si="3"/>
        <v>0.47816593886462883</v>
      </c>
      <c r="R13" s="3" t="str">
        <f t="shared" si="4"/>
        <v>Compliant</v>
      </c>
      <c r="S13" t="str">
        <f t="shared" si="5"/>
        <v>No Action</v>
      </c>
    </row>
    <row r="14" spans="1:19" x14ac:dyDescent="0.25">
      <c r="A14" t="s">
        <v>62</v>
      </c>
      <c r="B14" t="s">
        <v>63</v>
      </c>
      <c r="C14" t="s">
        <v>45</v>
      </c>
      <c r="D14" t="s">
        <v>64</v>
      </c>
      <c r="E14" t="s">
        <v>36</v>
      </c>
      <c r="F14">
        <v>2100</v>
      </c>
      <c r="G14">
        <v>1850</v>
      </c>
      <c r="H14">
        <v>4050</v>
      </c>
      <c r="I14">
        <v>2800</v>
      </c>
      <c r="J14" t="s">
        <v>18</v>
      </c>
      <c r="K14" t="s">
        <v>18</v>
      </c>
      <c r="L14" t="s">
        <v>19</v>
      </c>
      <c r="M14" t="s">
        <v>20</v>
      </c>
      <c r="N14">
        <f t="shared" si="0"/>
        <v>250</v>
      </c>
      <c r="O14" t="str">
        <f t="shared" si="1"/>
        <v>Within Allowance</v>
      </c>
      <c r="P14">
        <f t="shared" si="2"/>
        <v>4650</v>
      </c>
      <c r="Q14" s="2">
        <f t="shared" si="3"/>
        <v>1.1481481481481481</v>
      </c>
      <c r="R14" s="3" t="str">
        <f t="shared" si="4"/>
        <v>Compliant</v>
      </c>
      <c r="S14" t="str">
        <f t="shared" si="5"/>
        <v>No Action</v>
      </c>
    </row>
    <row r="15" spans="1:19" x14ac:dyDescent="0.25">
      <c r="A15" t="s">
        <v>65</v>
      </c>
      <c r="B15" t="s">
        <v>66</v>
      </c>
      <c r="C15" t="s">
        <v>23</v>
      </c>
      <c r="D15" t="s">
        <v>67</v>
      </c>
      <c r="E15" t="s">
        <v>17</v>
      </c>
      <c r="F15">
        <v>1600</v>
      </c>
      <c r="G15">
        <v>1685</v>
      </c>
      <c r="H15">
        <v>3640</v>
      </c>
      <c r="I15">
        <v>1200</v>
      </c>
      <c r="J15" t="s">
        <v>18</v>
      </c>
      <c r="K15" t="s">
        <v>18</v>
      </c>
      <c r="L15" t="s">
        <v>19</v>
      </c>
      <c r="M15" t="s">
        <v>20</v>
      </c>
      <c r="N15">
        <f t="shared" si="0"/>
        <v>-85</v>
      </c>
      <c r="O15" t="str">
        <f t="shared" si="1"/>
        <v>Over Allowance</v>
      </c>
      <c r="P15">
        <f t="shared" si="2"/>
        <v>2885</v>
      </c>
      <c r="Q15" s="2">
        <f t="shared" si="3"/>
        <v>0.79258241758241754</v>
      </c>
      <c r="R15" s="3" t="str">
        <f t="shared" si="4"/>
        <v>Compliant</v>
      </c>
      <c r="S15" t="str">
        <f t="shared" si="5"/>
        <v>No Action</v>
      </c>
    </row>
    <row r="16" spans="1:19" x14ac:dyDescent="0.25">
      <c r="A16" t="s">
        <v>68</v>
      </c>
      <c r="B16" t="s">
        <v>69</v>
      </c>
      <c r="C16" t="s">
        <v>34</v>
      </c>
      <c r="D16" t="s">
        <v>70</v>
      </c>
      <c r="E16" t="s">
        <v>28</v>
      </c>
      <c r="F16">
        <v>1100</v>
      </c>
      <c r="G16">
        <v>920</v>
      </c>
      <c r="H16">
        <v>2050</v>
      </c>
      <c r="I16">
        <v>0</v>
      </c>
      <c r="J16" t="s">
        <v>18</v>
      </c>
      <c r="K16" t="s">
        <v>18</v>
      </c>
      <c r="L16" t="s">
        <v>30</v>
      </c>
      <c r="M16" t="s">
        <v>31</v>
      </c>
      <c r="N16">
        <f t="shared" si="0"/>
        <v>180</v>
      </c>
      <c r="O16" t="str">
        <f t="shared" si="1"/>
        <v>Within Allowance</v>
      </c>
      <c r="P16">
        <f t="shared" si="2"/>
        <v>920</v>
      </c>
      <c r="Q16" s="2">
        <f t="shared" si="3"/>
        <v>0.44878048780487806</v>
      </c>
      <c r="R16" s="3" t="str">
        <f t="shared" si="4"/>
        <v>Non-Compliant</v>
      </c>
      <c r="S16" t="str">
        <f t="shared" si="5"/>
        <v>Follow-Up Required</v>
      </c>
    </row>
    <row r="17" spans="1:19" x14ac:dyDescent="0.25">
      <c r="A17" t="s">
        <v>71</v>
      </c>
      <c r="B17" t="s">
        <v>72</v>
      </c>
      <c r="C17" t="s">
        <v>15</v>
      </c>
      <c r="D17" t="s">
        <v>73</v>
      </c>
      <c r="E17" t="s">
        <v>17</v>
      </c>
      <c r="F17">
        <v>1500</v>
      </c>
      <c r="G17">
        <v>1455</v>
      </c>
      <c r="H17">
        <v>3010</v>
      </c>
      <c r="I17">
        <v>750</v>
      </c>
      <c r="J17" t="s">
        <v>18</v>
      </c>
      <c r="K17" t="s">
        <v>18</v>
      </c>
      <c r="L17" t="s">
        <v>19</v>
      </c>
      <c r="M17" t="s">
        <v>20</v>
      </c>
      <c r="N17">
        <f t="shared" si="0"/>
        <v>45</v>
      </c>
      <c r="O17" t="str">
        <f t="shared" si="1"/>
        <v>Within Allowance</v>
      </c>
      <c r="P17">
        <f t="shared" si="2"/>
        <v>2205</v>
      </c>
      <c r="Q17" s="2">
        <f t="shared" si="3"/>
        <v>0.73255813953488369</v>
      </c>
      <c r="R17" s="3" t="str">
        <f t="shared" si="4"/>
        <v>Compliant</v>
      </c>
      <c r="S17" t="str">
        <f t="shared" si="5"/>
        <v>No Action</v>
      </c>
    </row>
    <row r="18" spans="1:19" x14ac:dyDescent="0.25">
      <c r="A18" t="s">
        <v>74</v>
      </c>
      <c r="B18" t="s">
        <v>75</v>
      </c>
      <c r="C18" t="s">
        <v>23</v>
      </c>
      <c r="D18" t="s">
        <v>76</v>
      </c>
      <c r="E18" t="s">
        <v>36</v>
      </c>
      <c r="F18">
        <v>2300</v>
      </c>
      <c r="G18">
        <v>2190</v>
      </c>
      <c r="H18">
        <v>4725</v>
      </c>
      <c r="I18">
        <v>5200</v>
      </c>
      <c r="J18" t="s">
        <v>18</v>
      </c>
      <c r="K18" t="s">
        <v>29</v>
      </c>
      <c r="L18" t="s">
        <v>30</v>
      </c>
      <c r="M18" t="s">
        <v>31</v>
      </c>
      <c r="N18">
        <f t="shared" si="0"/>
        <v>110</v>
      </c>
      <c r="O18" t="str">
        <f t="shared" si="1"/>
        <v>Within Allowance</v>
      </c>
      <c r="P18">
        <f t="shared" si="2"/>
        <v>7390</v>
      </c>
      <c r="Q18" s="2">
        <f t="shared" si="3"/>
        <v>1.5640211640211641</v>
      </c>
      <c r="R18" s="3" t="str">
        <f t="shared" si="4"/>
        <v>Non-Compliant</v>
      </c>
      <c r="S18" t="str">
        <f t="shared" si="5"/>
        <v>Follow-Up Required</v>
      </c>
    </row>
    <row r="19" spans="1:19" x14ac:dyDescent="0.25">
      <c r="A19" t="s">
        <v>77</v>
      </c>
      <c r="B19" t="s">
        <v>78</v>
      </c>
      <c r="C19" t="s">
        <v>45</v>
      </c>
      <c r="D19" t="s">
        <v>79</v>
      </c>
      <c r="E19" t="s">
        <v>17</v>
      </c>
      <c r="F19">
        <v>1400</v>
      </c>
      <c r="G19">
        <v>1320</v>
      </c>
      <c r="H19">
        <v>2890</v>
      </c>
      <c r="I19">
        <v>0</v>
      </c>
      <c r="J19" t="s">
        <v>18</v>
      </c>
      <c r="K19" t="s">
        <v>18</v>
      </c>
      <c r="L19" t="s">
        <v>19</v>
      </c>
      <c r="M19" t="s">
        <v>20</v>
      </c>
      <c r="N19">
        <f t="shared" si="0"/>
        <v>80</v>
      </c>
      <c r="O19" t="str">
        <f t="shared" si="1"/>
        <v>Within Allowance</v>
      </c>
      <c r="P19">
        <f t="shared" si="2"/>
        <v>1320</v>
      </c>
      <c r="Q19" s="2">
        <f t="shared" si="3"/>
        <v>0.45674740484429066</v>
      </c>
      <c r="R19" s="3" t="str">
        <f t="shared" si="4"/>
        <v>Compliant</v>
      </c>
      <c r="S19" t="str">
        <f t="shared" si="5"/>
        <v>No Action</v>
      </c>
    </row>
    <row r="20" spans="1:19" x14ac:dyDescent="0.25">
      <c r="A20" t="s">
        <v>80</v>
      </c>
      <c r="B20" t="s">
        <v>81</v>
      </c>
      <c r="C20" t="s">
        <v>15</v>
      </c>
      <c r="D20" t="s">
        <v>82</v>
      </c>
      <c r="E20" t="s">
        <v>28</v>
      </c>
      <c r="F20">
        <v>1150</v>
      </c>
      <c r="G20">
        <v>1245</v>
      </c>
      <c r="H20">
        <v>2510</v>
      </c>
      <c r="I20">
        <v>1100</v>
      </c>
      <c r="J20" t="s">
        <v>18</v>
      </c>
      <c r="K20" t="s">
        <v>18</v>
      </c>
      <c r="L20" t="s">
        <v>19</v>
      </c>
      <c r="M20" t="s">
        <v>20</v>
      </c>
      <c r="N20">
        <f t="shared" si="0"/>
        <v>-95</v>
      </c>
      <c r="O20" t="str">
        <f t="shared" si="1"/>
        <v>Over Allowance</v>
      </c>
      <c r="P20">
        <f t="shared" si="2"/>
        <v>2345</v>
      </c>
      <c r="Q20" s="2">
        <f t="shared" si="3"/>
        <v>0.93426294820717126</v>
      </c>
      <c r="R20" s="3" t="str">
        <f t="shared" si="4"/>
        <v>Compliant</v>
      </c>
      <c r="S20" t="str">
        <f t="shared" si="5"/>
        <v>No Action</v>
      </c>
    </row>
    <row r="21" spans="1:19" x14ac:dyDescent="0.25">
      <c r="A21" t="s">
        <v>83</v>
      </c>
      <c r="B21" t="s">
        <v>84</v>
      </c>
      <c r="C21" t="s">
        <v>23</v>
      </c>
      <c r="D21" t="s">
        <v>85</v>
      </c>
      <c r="E21" t="s">
        <v>17</v>
      </c>
      <c r="F21">
        <v>1750</v>
      </c>
      <c r="G21">
        <v>1510</v>
      </c>
      <c r="H21">
        <v>3290</v>
      </c>
      <c r="I21">
        <v>1950</v>
      </c>
      <c r="J21" t="s">
        <v>29</v>
      </c>
      <c r="K21" t="s">
        <v>18</v>
      </c>
      <c r="L21" t="s">
        <v>30</v>
      </c>
      <c r="M21" t="s">
        <v>31</v>
      </c>
      <c r="N21">
        <f t="shared" si="0"/>
        <v>240</v>
      </c>
      <c r="O21" t="str">
        <f t="shared" si="1"/>
        <v>Within Allowance</v>
      </c>
      <c r="P21">
        <f t="shared" si="2"/>
        <v>3460</v>
      </c>
      <c r="Q21" s="2">
        <f t="shared" si="3"/>
        <v>1.0516717325227964</v>
      </c>
      <c r="R21" s="3" t="str">
        <f t="shared" si="4"/>
        <v>Non-Compliant</v>
      </c>
      <c r="S21" t="str">
        <f t="shared" si="5"/>
        <v>Follow-Up Required</v>
      </c>
    </row>
    <row r="23" spans="1:19" x14ac:dyDescent="0.25">
      <c r="M23">
        <f>COUNTIF(M2:M21, "Follow Up")</f>
        <v>7</v>
      </c>
    </row>
  </sheetData>
  <conditionalFormatting sqref="O1:O1048576">
    <cfRule type="containsText" dxfId="10" priority="6" operator="containsText" text="Over">
      <formula>NOT(ISERROR(SEARCH("Over",O1)))</formula>
    </cfRule>
  </conditionalFormatting>
  <conditionalFormatting sqref="L4">
    <cfRule type="containsText" dxfId="9" priority="5" operator="containsText" text="Missing">
      <formula>NOT(ISERROR(SEARCH("Missing",L4)))</formula>
    </cfRule>
  </conditionalFormatting>
  <conditionalFormatting sqref="L1:L1048576">
    <cfRule type="containsText" dxfId="8" priority="4" operator="containsText" text="Missing">
      <formula>NOT(ISERROR(SEARCH("Missing",L1)))</formula>
    </cfRule>
  </conditionalFormatting>
  <conditionalFormatting sqref="K1">
    <cfRule type="containsText" dxfId="7" priority="3" operator="containsText" text="Expired">
      <formula>NOT(ISERROR(SEARCH("Expired",K1)))</formula>
    </cfRule>
  </conditionalFormatting>
  <conditionalFormatting sqref="K1:K1048576">
    <cfRule type="containsText" dxfId="6" priority="2" operator="containsText" text="Expired">
      <formula>NOT(ISERROR(SEARCH("Expired",K1)))</formula>
    </cfRule>
  </conditionalFormatting>
  <conditionalFormatting sqref="J1:J1048576">
    <cfRule type="containsText" dxfId="0" priority="1" operator="containsText" text="Expired">
      <formula>NOT(ISERROR(SEARCH("Expired",J1)))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Mxenge</dc:creator>
  <cp:lastModifiedBy>Tina Mxenge</cp:lastModifiedBy>
  <dcterms:created xsi:type="dcterms:W3CDTF">2026-10-07T17:02:15Z</dcterms:created>
  <dcterms:modified xsi:type="dcterms:W3CDTF">2026-10-07T18:30:23Z</dcterms:modified>
</cp:coreProperties>
</file>